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bettirek/Desktop/"/>
    </mc:Choice>
  </mc:AlternateContent>
  <xr:revisionPtr revIDLastSave="0" documentId="13_ncr:1_{20309D11-738C-5343-897C-3C2D1F1149AF}" xr6:coauthVersionLast="47" xr6:coauthVersionMax="47" xr10:uidLastSave="{00000000-0000-0000-0000-000000000000}"/>
  <bookViews>
    <workbookView xWindow="280" yWindow="500" windowWidth="28240" windowHeight="16260" xr2:uid="{5E027DC3-A6D5-AC4C-9577-955715EF6DA9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</calcChain>
</file>

<file path=xl/sharedStrings.xml><?xml version="1.0" encoding="utf-8"?>
<sst xmlns="http://schemas.openxmlformats.org/spreadsheetml/2006/main" count="115" uniqueCount="59">
  <si>
    <t>2005-2006</t>
  </si>
  <si>
    <t>2006-2007</t>
  </si>
  <si>
    <t>2007-2008</t>
  </si>
  <si>
    <t>2008-2009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</si>
  <si>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</si>
  <si>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</si>
  <si>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</si>
  <si>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</si>
  <si>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</si>
  <si>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</si>
  <si>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</si>
  <si>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2018-2019</t>
  </si>
  <si>
    <t>2019-2020</t>
  </si>
  <si>
    <t>2020-2021</t>
  </si>
  <si>
    <t>2021-2022</t>
  </si>
  <si>
    <t>2022-2023</t>
  </si>
  <si>
    <t>2023-2024</t>
  </si>
  <si>
    <t>2024-2025</t>
  </si>
  <si>
    <t>Cristoph Daum</t>
  </si>
  <si>
    <t>Arthur Zico</t>
  </si>
  <si>
    <t>Turkish League Cup</t>
  </si>
  <si>
    <t>Foreign - Germany</t>
  </si>
  <si>
    <t>Foreign - Brazil</t>
  </si>
  <si>
    <t>Luis Aragonés</t>
  </si>
  <si>
    <t>Foreign - Spain</t>
  </si>
  <si>
    <t>Aykut Kocaman</t>
  </si>
  <si>
    <t>Türkiye</t>
  </si>
  <si>
    <t>2009-2010</t>
  </si>
  <si>
    <t>Turkish National Cup</t>
  </si>
  <si>
    <t>Ersun Yanal</t>
  </si>
  <si>
    <t>İsmail Kartal</t>
  </si>
  <si>
    <t>Vítor Pereira</t>
  </si>
  <si>
    <t>Foreign - Portugal</t>
  </si>
  <si>
    <t>Dick Advocaat</t>
  </si>
  <si>
    <t>Foreign - Netherlands</t>
  </si>
  <si>
    <t>2017-2018</t>
  </si>
  <si>
    <t>Philip Cocu</t>
  </si>
  <si>
    <t>Erwin Koeman</t>
  </si>
  <si>
    <t>Tahir Karapınar</t>
  </si>
  <si>
    <t>Erol Bulut</t>
  </si>
  <si>
    <t>Emre Belözoğlu</t>
  </si>
  <si>
    <t>Jorge Jesus</t>
  </si>
  <si>
    <t>Jose Mourinho</t>
  </si>
  <si>
    <t>has_trophy</t>
  </si>
  <si>
    <t>is_foreign</t>
  </si>
  <si>
    <t>season</t>
  </si>
  <si>
    <t>coach_name</t>
  </si>
  <si>
    <t>nationality</t>
  </si>
  <si>
    <t>total_matches</t>
  </si>
  <si>
    <t>win</t>
  </si>
  <si>
    <t>draw</t>
  </si>
  <si>
    <t>loss</t>
  </si>
  <si>
    <t>points_per_game</t>
  </si>
  <si>
    <t>win_rate</t>
  </si>
  <si>
    <t>avg_goals_scored</t>
  </si>
  <si>
    <t>avg_goals_conceded</t>
  </si>
  <si>
    <t>trophies_text</t>
  </si>
  <si>
    <t>None</t>
  </si>
  <si>
    <t>season_start_year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</si>
</sst>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162"/>
      <scheme val="minor"/>
    </font>
    <font>
      <sz val="12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</cellXfs>
  <cellStyles count="2">
    <cellStyle name="Normal" xfId="0" builtinId="0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8E0A5-DACB-DC45-B58E-F3193C7701DE}">
  <dimension ref="A1:O26"/>
  <sheetViews>
    <sheetView tabSelected="1" zoomScale="89" workbookViewId="0">
      <selection activeCell="O27" sqref="O27"/>
    </sheetView>
  </sheetViews>
  <sheetFormatPr baseColWidth="10" defaultRowHeight="16" x14ac:dyDescent="0.2"/>
  <cols>
    <col min="2" max="2" width="13.33203125" bestFit="1" customWidth="1"/>
    <col min="3" max="3" width="16.5" bestFit="1" customWidth="1"/>
    <col min="4" max="4" width="18.6640625" bestFit="1" customWidth="1"/>
    <col min="5" max="5" width="12.5" bestFit="1" customWidth="1"/>
    <col min="9" max="10" width="14.33203125" bestFit="1" customWidth="1"/>
    <col min="11" max="11" width="27.5" bestFit="1" customWidth="1"/>
    <col min="12" max="12" width="30.1640625" bestFit="1" customWidth="1"/>
    <col min="13" max="13" width="16.6640625" bestFit="1" customWidth="1"/>
    <col min="14" max="14" width="10" bestFit="1" customWidth="1"/>
    <col min="15" max="15" width="15.83203125" bestFit="1" customWidth="1"/>
  </cols>
  <sheetData>
    <row r="1" spans="1:15" x14ac:dyDescent="0.2">
      <c r="A1" s="1" t="s">
        <v>45</v>
      </c>
      <c r="B1" s="1" t="s">
        <v>46</v>
      </c>
      <c r="C1" s="1" t="s">
        <v>44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43</v>
      </c>
      <c r="O1" s="1" t="s">
        <v>58</v>
      </c>
    </row>
    <row r="2" spans="1:15" x14ac:dyDescent="0.2">
      <c r="A2" s="1" t="s">
        <v>0</v>
      </c>
      <c r="B2" s="1" t="s">
        <v>18</v>
      </c>
      <c r="C2" s="1">
        <v>1</v>
      </c>
      <c r="D2" s="1" t="s">
        <v>21</v>
      </c>
      <c r="E2" s="1">
        <v>49</v>
      </c>
      <c r="F2" s="1">
        <v>31</v>
      </c>
      <c r="G2" s="1">
        <v>9</v>
      </c>
      <c r="H2" s="1">
        <v>9</v>
      </c>
      <c r="I2" s="2">
        <f>(3*F2+G2)/E2</f>
        <v>2.0816326530612246</v>
      </c>
      <c r="J2" s="3">
        <f>(F2/E2)</f>
        <v>0.63265306122448983</v>
      </c>
      <c r="K2" s="4">
        <v>2.4</v>
      </c>
      <c r="L2" s="4">
        <v>1.2</v>
      </c>
      <c r="M2" s="1" t="s">
        <v>57</v>
      </c>
      <c r="N2">
        <v>0</v>
      </c>
      <c r="O2" s="1">
        <v>2005</v>
      </c>
    </row>
    <row r="3" spans="1:15" x14ac:dyDescent="0.2">
      <c r="A3" s="1" t="s">
        <v>1</v>
      </c>
      <c r="B3" s="1" t="s">
        <v>19</v>
      </c>
      <c r="C3" s="1">
        <v>1</v>
      </c>
      <c r="D3" s="1" t="s">
        <v>22</v>
      </c>
      <c r="E3" s="1">
        <v>54</v>
      </c>
      <c r="F3" s="1">
        <v>33</v>
      </c>
      <c r="G3" s="1">
        <v>13</v>
      </c>
      <c r="H3" s="1">
        <v>8</v>
      </c>
      <c r="I3" s="2">
        <f t="shared" ref="I3:I26" si="0">(3*F3+G3)/E3</f>
        <v>2.074074074074074</v>
      </c>
      <c r="J3" s="3">
        <f t="shared" ref="J3:J26" si="1">(F3/E3)</f>
        <v>0.61111111111111116</v>
      </c>
      <c r="K3" s="4">
        <v>2.2000000000000002</v>
      </c>
      <c r="L3" s="4">
        <v>1</v>
      </c>
      <c r="M3" s="1" t="s">
        <v>20</v>
      </c>
      <c r="N3">
        <v>1</v>
      </c>
      <c r="O3" s="1">
        <v>2006</v>
      </c>
    </row>
    <row r="4" spans="1:15" x14ac:dyDescent="0.2">
      <c r="A4" s="1" t="s">
        <v>2</v>
      </c>
      <c r="B4" s="1" t="s">
        <v>19</v>
      </c>
      <c r="C4" s="1">
        <v>1</v>
      </c>
      <c r="D4" s="1" t="s">
        <v>22</v>
      </c>
      <c r="E4" s="1">
        <v>53</v>
      </c>
      <c r="F4" s="1">
        <v>30</v>
      </c>
      <c r="G4" s="1">
        <v>14</v>
      </c>
      <c r="H4" s="1">
        <v>9</v>
      </c>
      <c r="I4" s="2">
        <f t="shared" si="0"/>
        <v>1.9622641509433962</v>
      </c>
      <c r="J4" s="3">
        <f t="shared" si="1"/>
        <v>0.56603773584905659</v>
      </c>
      <c r="K4" s="4">
        <v>1.9</v>
      </c>
      <c r="L4" s="4">
        <v>1.1000000000000001</v>
      </c>
      <c r="M4" s="1" t="s">
        <v>57</v>
      </c>
      <c r="N4">
        <v>0</v>
      </c>
      <c r="O4" s="1">
        <v>2007</v>
      </c>
    </row>
    <row r="5" spans="1:15" x14ac:dyDescent="0.2">
      <c r="A5" s="1" t="s">
        <v>3</v>
      </c>
      <c r="B5" s="1" t="s">
        <v>23</v>
      </c>
      <c r="C5" s="1">
        <v>1</v>
      </c>
      <c r="D5" s="1" t="s">
        <v>24</v>
      </c>
      <c r="E5" s="1">
        <v>46</v>
      </c>
      <c r="F5" s="1">
        <v>23</v>
      </c>
      <c r="G5" s="1">
        <v>12</v>
      </c>
      <c r="H5" s="1">
        <v>11</v>
      </c>
      <c r="I5" s="2">
        <f t="shared" si="0"/>
        <v>1.7608695652173914</v>
      </c>
      <c r="J5" s="3">
        <f t="shared" si="1"/>
        <v>0.5</v>
      </c>
      <c r="K5" s="4">
        <v>1.5</v>
      </c>
      <c r="L5" s="4">
        <v>1</v>
      </c>
      <c r="M5" s="1" t="s">
        <v>57</v>
      </c>
      <c r="N5">
        <v>0</v>
      </c>
      <c r="O5" s="1">
        <v>2008</v>
      </c>
    </row>
    <row r="6" spans="1:15" x14ac:dyDescent="0.2">
      <c r="A6" s="1" t="s">
        <v>27</v>
      </c>
      <c r="B6" s="1" t="s">
        <v>18</v>
      </c>
      <c r="C6" s="1">
        <v>1</v>
      </c>
      <c r="D6" s="1" t="s">
        <v>21</v>
      </c>
      <c r="E6" s="1">
        <v>46</v>
      </c>
      <c r="F6" s="1">
        <v>28</v>
      </c>
      <c r="G6" s="1">
        <v>10</v>
      </c>
      <c r="H6" s="1">
        <v>8</v>
      </c>
      <c r="I6" s="2">
        <f t="shared" si="0"/>
        <v>2.0434782608695654</v>
      </c>
      <c r="J6" s="3">
        <f t="shared" si="1"/>
        <v>0.60869565217391308</v>
      </c>
      <c r="K6" s="4">
        <v>1.8</v>
      </c>
      <c r="L6" s="4">
        <v>0.9</v>
      </c>
      <c r="M6" s="1" t="s">
        <v>57</v>
      </c>
      <c r="N6">
        <v>0</v>
      </c>
      <c r="O6" s="1">
        <v>2009</v>
      </c>
    </row>
    <row r="7" spans="1:15" x14ac:dyDescent="0.2">
      <c r="A7" s="1" t="s">
        <v>4</v>
      </c>
      <c r="B7" s="1" t="s">
        <v>25</v>
      </c>
      <c r="C7" s="1">
        <v>0</v>
      </c>
      <c r="D7" s="1" t="s">
        <v>26</v>
      </c>
      <c r="E7" s="1">
        <v>46</v>
      </c>
      <c r="F7" s="1">
        <v>34</v>
      </c>
      <c r="G7" s="1">
        <v>6</v>
      </c>
      <c r="H7" s="1">
        <v>6</v>
      </c>
      <c r="I7" s="2">
        <f t="shared" si="0"/>
        <v>2.347826086956522</v>
      </c>
      <c r="J7" s="3">
        <f t="shared" si="1"/>
        <v>0.73913043478260865</v>
      </c>
      <c r="K7" s="4">
        <v>2</v>
      </c>
      <c r="L7" s="4">
        <v>0.9</v>
      </c>
      <c r="M7" s="1" t="s">
        <v>20</v>
      </c>
      <c r="N7">
        <v>1</v>
      </c>
      <c r="O7" s="1">
        <v>2010</v>
      </c>
    </row>
    <row r="8" spans="1:15" x14ac:dyDescent="0.2">
      <c r="A8" s="1" t="s">
        <v>5</v>
      </c>
      <c r="B8" s="1" t="s">
        <v>25</v>
      </c>
      <c r="C8" s="1">
        <v>0</v>
      </c>
      <c r="D8" s="1" t="s">
        <v>26</v>
      </c>
      <c r="E8" s="1">
        <v>55</v>
      </c>
      <c r="F8" s="1">
        <v>34</v>
      </c>
      <c r="G8" s="1">
        <v>13</v>
      </c>
      <c r="H8" s="1">
        <v>8</v>
      </c>
      <c r="I8" s="2">
        <f t="shared" si="0"/>
        <v>2.0909090909090908</v>
      </c>
      <c r="J8" s="3">
        <f t="shared" si="1"/>
        <v>0.61818181818181817</v>
      </c>
      <c r="K8" s="4">
        <v>1.6</v>
      </c>
      <c r="L8" s="4">
        <v>1</v>
      </c>
      <c r="M8" s="1" t="s">
        <v>28</v>
      </c>
      <c r="N8">
        <v>1</v>
      </c>
      <c r="O8" s="1">
        <v>2011</v>
      </c>
    </row>
    <row r="9" spans="1:15" x14ac:dyDescent="0.2">
      <c r="A9" s="1" t="s">
        <v>6</v>
      </c>
      <c r="B9" s="1" t="s">
        <v>25</v>
      </c>
      <c r="C9" s="1">
        <v>0</v>
      </c>
      <c r="D9" s="1" t="s">
        <v>26</v>
      </c>
      <c r="E9" s="1">
        <v>64</v>
      </c>
      <c r="F9" s="1">
        <v>36</v>
      </c>
      <c r="G9" s="1">
        <v>15</v>
      </c>
      <c r="H9" s="1">
        <v>13</v>
      </c>
      <c r="I9" s="2">
        <f t="shared" si="0"/>
        <v>1.921875</v>
      </c>
      <c r="J9" s="3">
        <f t="shared" si="1"/>
        <v>0.5625</v>
      </c>
      <c r="K9" s="4">
        <v>1.7</v>
      </c>
      <c r="L9" s="4">
        <v>1.1000000000000001</v>
      </c>
      <c r="M9" s="1" t="s">
        <v>57</v>
      </c>
      <c r="N9">
        <v>0</v>
      </c>
      <c r="O9" s="1">
        <v>2012</v>
      </c>
    </row>
    <row r="10" spans="1:15" x14ac:dyDescent="0.2">
      <c r="A10" s="1" t="s">
        <v>7</v>
      </c>
      <c r="B10" s="1" t="s">
        <v>29</v>
      </c>
      <c r="C10" s="1">
        <v>0</v>
      </c>
      <c r="D10" s="1" t="s">
        <v>26</v>
      </c>
      <c r="E10" s="1">
        <v>46</v>
      </c>
      <c r="F10" s="1">
        <v>30</v>
      </c>
      <c r="G10" s="1">
        <v>10</v>
      </c>
      <c r="H10" s="1">
        <v>6</v>
      </c>
      <c r="I10" s="2">
        <f t="shared" si="0"/>
        <v>2.1739130434782608</v>
      </c>
      <c r="J10" s="3">
        <f t="shared" si="1"/>
        <v>0.65217391304347827</v>
      </c>
      <c r="K10" s="4">
        <v>1.9</v>
      </c>
      <c r="L10" s="4">
        <v>0.8</v>
      </c>
      <c r="M10" s="1" t="s">
        <v>20</v>
      </c>
      <c r="N10">
        <v>1</v>
      </c>
      <c r="O10" s="1">
        <v>2013</v>
      </c>
    </row>
    <row r="11" spans="1:15" x14ac:dyDescent="0.2">
      <c r="A11" s="1" t="s">
        <v>8</v>
      </c>
      <c r="B11" s="1" t="s">
        <v>30</v>
      </c>
      <c r="C11" s="1">
        <v>0</v>
      </c>
      <c r="D11" s="1" t="s">
        <v>26</v>
      </c>
      <c r="E11" s="1">
        <v>46</v>
      </c>
      <c r="F11" s="1">
        <v>26</v>
      </c>
      <c r="G11" s="1">
        <v>12</v>
      </c>
      <c r="H11" s="1">
        <v>8</v>
      </c>
      <c r="I11" s="2">
        <f t="shared" si="0"/>
        <v>1.9565217391304348</v>
      </c>
      <c r="J11" s="3">
        <f t="shared" si="1"/>
        <v>0.56521739130434778</v>
      </c>
      <c r="K11" s="4">
        <v>1.5</v>
      </c>
      <c r="L11" s="4">
        <v>0.9</v>
      </c>
      <c r="M11" s="1" t="s">
        <v>57</v>
      </c>
      <c r="N11">
        <v>0</v>
      </c>
      <c r="O11" s="1">
        <v>2014</v>
      </c>
    </row>
    <row r="12" spans="1:15" x14ac:dyDescent="0.2">
      <c r="A12" s="1" t="s">
        <v>9</v>
      </c>
      <c r="B12" s="1" t="s">
        <v>31</v>
      </c>
      <c r="C12" s="1">
        <v>1</v>
      </c>
      <c r="D12" s="1" t="s">
        <v>32</v>
      </c>
      <c r="E12" s="1">
        <v>57</v>
      </c>
      <c r="F12" s="1">
        <v>34</v>
      </c>
      <c r="G12" s="1">
        <v>15</v>
      </c>
      <c r="H12" s="1">
        <v>8</v>
      </c>
      <c r="I12" s="2">
        <f t="shared" si="0"/>
        <v>2.0526315789473686</v>
      </c>
      <c r="J12" s="3">
        <f t="shared" si="1"/>
        <v>0.59649122807017541</v>
      </c>
      <c r="K12" s="4">
        <v>1.6</v>
      </c>
      <c r="L12" s="4">
        <v>0.8</v>
      </c>
      <c r="M12" s="1" t="s">
        <v>57</v>
      </c>
      <c r="N12">
        <v>0</v>
      </c>
      <c r="O12" s="1">
        <v>2015</v>
      </c>
    </row>
    <row r="13" spans="1:15" x14ac:dyDescent="0.2">
      <c r="A13" s="1" t="s">
        <v>10</v>
      </c>
      <c r="B13" s="1" t="s">
        <v>33</v>
      </c>
      <c r="C13" s="1">
        <v>1</v>
      </c>
      <c r="D13" s="1" t="s">
        <v>34</v>
      </c>
      <c r="E13" s="1">
        <v>47</v>
      </c>
      <c r="F13" s="1">
        <v>26</v>
      </c>
      <c r="G13" s="1">
        <v>11</v>
      </c>
      <c r="H13" s="1">
        <v>10</v>
      </c>
      <c r="I13" s="2">
        <f t="shared" si="0"/>
        <v>1.8936170212765957</v>
      </c>
      <c r="J13" s="3">
        <f t="shared" si="1"/>
        <v>0.55319148936170215</v>
      </c>
      <c r="K13" s="4">
        <v>1.7</v>
      </c>
      <c r="L13" s="4">
        <v>1.1000000000000001</v>
      </c>
      <c r="M13" s="1" t="s">
        <v>57</v>
      </c>
      <c r="N13">
        <v>0</v>
      </c>
      <c r="O13" s="1">
        <v>2016</v>
      </c>
    </row>
    <row r="14" spans="1:15" x14ac:dyDescent="0.2">
      <c r="A14" s="1" t="s">
        <v>35</v>
      </c>
      <c r="B14" s="1" t="s">
        <v>25</v>
      </c>
      <c r="C14" s="1">
        <v>0</v>
      </c>
      <c r="D14" s="1" t="s">
        <v>26</v>
      </c>
      <c r="E14" s="1">
        <v>50</v>
      </c>
      <c r="F14" s="1">
        <v>29</v>
      </c>
      <c r="G14" s="1">
        <v>12</v>
      </c>
      <c r="H14" s="1">
        <v>9</v>
      </c>
      <c r="I14" s="2">
        <f t="shared" si="0"/>
        <v>1.98</v>
      </c>
      <c r="J14" s="3">
        <f t="shared" si="1"/>
        <v>0.57999999999999996</v>
      </c>
      <c r="K14" s="4">
        <v>1.9</v>
      </c>
      <c r="L14" s="4">
        <v>1.1000000000000001</v>
      </c>
      <c r="M14" s="1" t="s">
        <v>57</v>
      </c>
      <c r="N14">
        <v>0</v>
      </c>
      <c r="O14" s="1">
        <v>2017</v>
      </c>
    </row>
    <row r="15" spans="1:15" x14ac:dyDescent="0.2">
      <c r="A15" s="1" t="s">
        <v>11</v>
      </c>
      <c r="B15" s="1" t="s">
        <v>36</v>
      </c>
      <c r="C15" s="1">
        <v>1</v>
      </c>
      <c r="D15" s="1" t="s">
        <v>34</v>
      </c>
      <c r="E15" s="1">
        <v>15</v>
      </c>
      <c r="F15" s="1">
        <v>3</v>
      </c>
      <c r="G15" s="1">
        <v>5</v>
      </c>
      <c r="H15" s="1">
        <v>7</v>
      </c>
      <c r="I15" s="2">
        <f t="shared" si="0"/>
        <v>0.93333333333333335</v>
      </c>
      <c r="J15" s="3">
        <f t="shared" si="1"/>
        <v>0.2</v>
      </c>
      <c r="K15" s="4">
        <v>0.8</v>
      </c>
      <c r="L15" s="4">
        <v>1.5</v>
      </c>
      <c r="M15" s="1" t="s">
        <v>57</v>
      </c>
      <c r="N15">
        <v>0</v>
      </c>
      <c r="O15" s="1">
        <v>2018</v>
      </c>
    </row>
    <row r="16" spans="1:15" x14ac:dyDescent="0.2">
      <c r="A16" s="1" t="s">
        <v>11</v>
      </c>
      <c r="B16" s="1" t="s">
        <v>37</v>
      </c>
      <c r="C16" s="1">
        <v>1</v>
      </c>
      <c r="D16" s="1" t="s">
        <v>34</v>
      </c>
      <c r="E16" s="1">
        <v>10</v>
      </c>
      <c r="F16" s="1">
        <v>4</v>
      </c>
      <c r="G16" s="1">
        <v>4</v>
      </c>
      <c r="H16" s="1">
        <v>2</v>
      </c>
      <c r="I16" s="2">
        <f t="shared" si="0"/>
        <v>1.6</v>
      </c>
      <c r="J16" s="3">
        <f t="shared" si="1"/>
        <v>0.4</v>
      </c>
      <c r="K16" s="4">
        <v>1.2</v>
      </c>
      <c r="L16" s="4">
        <v>1.2</v>
      </c>
      <c r="M16" s="1" t="s">
        <v>57</v>
      </c>
      <c r="N16">
        <v>0</v>
      </c>
      <c r="O16" s="1">
        <v>2018</v>
      </c>
    </row>
    <row r="17" spans="1:15" x14ac:dyDescent="0.2">
      <c r="A17" s="1" t="s">
        <v>11</v>
      </c>
      <c r="B17" s="1" t="s">
        <v>29</v>
      </c>
      <c r="C17" s="1">
        <v>0</v>
      </c>
      <c r="D17" s="1" t="s">
        <v>26</v>
      </c>
      <c r="E17" s="1">
        <v>25</v>
      </c>
      <c r="F17" s="1">
        <v>11</v>
      </c>
      <c r="G17" s="1">
        <v>7</v>
      </c>
      <c r="H17" s="1">
        <v>7</v>
      </c>
      <c r="I17" s="2">
        <f t="shared" si="0"/>
        <v>1.6</v>
      </c>
      <c r="J17" s="3">
        <f t="shared" si="1"/>
        <v>0.44</v>
      </c>
      <c r="K17" s="4">
        <v>1.4</v>
      </c>
      <c r="L17" s="4">
        <v>1.2</v>
      </c>
      <c r="M17" s="1" t="s">
        <v>57</v>
      </c>
      <c r="N17">
        <v>0</v>
      </c>
      <c r="O17" s="1">
        <v>2018</v>
      </c>
    </row>
    <row r="18" spans="1:15" x14ac:dyDescent="0.2">
      <c r="A18" s="1" t="s">
        <v>12</v>
      </c>
      <c r="B18" s="1" t="s">
        <v>29</v>
      </c>
      <c r="C18" s="1">
        <v>0</v>
      </c>
      <c r="D18" s="1" t="s">
        <v>26</v>
      </c>
      <c r="E18" s="1">
        <v>36</v>
      </c>
      <c r="F18" s="1">
        <v>18</v>
      </c>
      <c r="G18" s="1">
        <v>8</v>
      </c>
      <c r="H18" s="1">
        <v>10</v>
      </c>
      <c r="I18" s="2">
        <f t="shared" si="0"/>
        <v>1.7222222222222223</v>
      </c>
      <c r="J18" s="3">
        <f t="shared" si="1"/>
        <v>0.5</v>
      </c>
      <c r="K18" s="4">
        <v>1.7</v>
      </c>
      <c r="L18" s="4">
        <v>1.3</v>
      </c>
      <c r="M18" s="1" t="s">
        <v>57</v>
      </c>
      <c r="N18">
        <v>0</v>
      </c>
      <c r="O18" s="1">
        <v>2019</v>
      </c>
    </row>
    <row r="19" spans="1:15" x14ac:dyDescent="0.2">
      <c r="A19" s="1" t="s">
        <v>12</v>
      </c>
      <c r="B19" s="1" t="s">
        <v>38</v>
      </c>
      <c r="C19" s="1">
        <v>0</v>
      </c>
      <c r="D19" s="1" t="s">
        <v>26</v>
      </c>
      <c r="E19" s="1">
        <v>9</v>
      </c>
      <c r="F19" s="1">
        <v>3</v>
      </c>
      <c r="G19" s="1">
        <v>4</v>
      </c>
      <c r="H19" s="1">
        <v>2</v>
      </c>
      <c r="I19" s="2">
        <f t="shared" si="0"/>
        <v>1.4444444444444444</v>
      </c>
      <c r="J19" s="3">
        <f t="shared" si="1"/>
        <v>0.33333333333333331</v>
      </c>
      <c r="K19" s="4">
        <v>1.4</v>
      </c>
      <c r="L19" s="4">
        <v>1.3</v>
      </c>
      <c r="M19" s="1" t="s">
        <v>57</v>
      </c>
      <c r="N19">
        <v>0</v>
      </c>
      <c r="O19" s="1">
        <v>2019</v>
      </c>
    </row>
    <row r="20" spans="1:15" x14ac:dyDescent="0.2">
      <c r="A20" s="1" t="s">
        <v>13</v>
      </c>
      <c r="B20" s="1" t="s">
        <v>39</v>
      </c>
      <c r="C20" s="1">
        <v>0</v>
      </c>
      <c r="D20" s="1" t="s">
        <v>26</v>
      </c>
      <c r="E20" s="1">
        <v>34</v>
      </c>
      <c r="F20" s="1">
        <v>21</v>
      </c>
      <c r="G20" s="1">
        <v>5</v>
      </c>
      <c r="H20" s="1">
        <v>8</v>
      </c>
      <c r="I20" s="2">
        <f t="shared" si="0"/>
        <v>2</v>
      </c>
      <c r="J20" s="3">
        <f t="shared" si="1"/>
        <v>0.61764705882352944</v>
      </c>
      <c r="K20" s="4">
        <v>1.8</v>
      </c>
      <c r="L20" s="4">
        <v>1.1000000000000001</v>
      </c>
      <c r="M20" s="1" t="s">
        <v>57</v>
      </c>
      <c r="N20">
        <v>0</v>
      </c>
      <c r="O20" s="1">
        <v>2020</v>
      </c>
    </row>
    <row r="21" spans="1:15" x14ac:dyDescent="0.2">
      <c r="A21" s="1" t="s">
        <v>13</v>
      </c>
      <c r="B21" s="1" t="s">
        <v>40</v>
      </c>
      <c r="C21" s="1">
        <v>0</v>
      </c>
      <c r="D21" s="1" t="s">
        <v>26</v>
      </c>
      <c r="E21" s="1">
        <v>10</v>
      </c>
      <c r="F21" s="1">
        <v>7</v>
      </c>
      <c r="G21" s="1">
        <v>2</v>
      </c>
      <c r="H21" s="1">
        <v>1</v>
      </c>
      <c r="I21" s="2">
        <f t="shared" si="0"/>
        <v>2.2999999999999998</v>
      </c>
      <c r="J21" s="3">
        <f t="shared" si="1"/>
        <v>0.7</v>
      </c>
      <c r="K21" s="4">
        <v>1.8</v>
      </c>
      <c r="L21" s="4">
        <v>1.1000000000000001</v>
      </c>
      <c r="M21" s="1" t="s">
        <v>57</v>
      </c>
      <c r="N21">
        <v>0</v>
      </c>
      <c r="O21" s="1">
        <v>2020</v>
      </c>
    </row>
    <row r="22" spans="1:15" x14ac:dyDescent="0.2">
      <c r="A22" s="1" t="s">
        <v>14</v>
      </c>
      <c r="B22" s="1" t="s">
        <v>31</v>
      </c>
      <c r="C22" s="1">
        <v>1</v>
      </c>
      <c r="D22" s="1" t="s">
        <v>32</v>
      </c>
      <c r="E22" s="1">
        <v>25</v>
      </c>
      <c r="F22" s="1">
        <v>11</v>
      </c>
      <c r="G22" s="1">
        <v>7</v>
      </c>
      <c r="H22" s="1">
        <v>7</v>
      </c>
      <c r="I22" s="2">
        <f t="shared" si="0"/>
        <v>1.6</v>
      </c>
      <c r="J22" s="3">
        <f t="shared" si="1"/>
        <v>0.44</v>
      </c>
      <c r="K22" s="4">
        <v>1.4</v>
      </c>
      <c r="L22" s="4">
        <v>1</v>
      </c>
      <c r="M22" s="1" t="s">
        <v>57</v>
      </c>
      <c r="N22">
        <v>0</v>
      </c>
      <c r="O22" s="1">
        <v>2021</v>
      </c>
    </row>
    <row r="23" spans="1:15" x14ac:dyDescent="0.2">
      <c r="A23" s="1" t="s">
        <v>14</v>
      </c>
      <c r="B23" s="1" t="s">
        <v>30</v>
      </c>
      <c r="C23" s="1">
        <v>0</v>
      </c>
      <c r="D23" s="1" t="s">
        <v>26</v>
      </c>
      <c r="E23" s="1">
        <v>20</v>
      </c>
      <c r="F23" s="1">
        <v>12</v>
      </c>
      <c r="G23" s="1">
        <v>6</v>
      </c>
      <c r="H23" s="1">
        <v>2</v>
      </c>
      <c r="I23" s="2">
        <f t="shared" si="0"/>
        <v>2.1</v>
      </c>
      <c r="J23" s="3">
        <f t="shared" si="1"/>
        <v>0.6</v>
      </c>
      <c r="K23" s="4">
        <v>1.7</v>
      </c>
      <c r="L23" s="4">
        <v>1</v>
      </c>
      <c r="M23" s="1" t="s">
        <v>57</v>
      </c>
      <c r="N23">
        <v>0</v>
      </c>
      <c r="O23" s="1">
        <v>2021</v>
      </c>
    </row>
    <row r="24" spans="1:15" x14ac:dyDescent="0.2">
      <c r="A24" s="1" t="s">
        <v>15</v>
      </c>
      <c r="B24" s="1" t="s">
        <v>41</v>
      </c>
      <c r="C24" s="1">
        <v>1</v>
      </c>
      <c r="D24" s="1" t="s">
        <v>32</v>
      </c>
      <c r="E24" s="1">
        <v>57</v>
      </c>
      <c r="F24" s="1">
        <v>36</v>
      </c>
      <c r="G24" s="1">
        <v>11</v>
      </c>
      <c r="H24" s="1">
        <v>10</v>
      </c>
      <c r="I24" s="2">
        <f t="shared" si="0"/>
        <v>2.0877192982456139</v>
      </c>
      <c r="J24" s="3">
        <f t="shared" si="1"/>
        <v>0.63157894736842102</v>
      </c>
      <c r="K24" s="4">
        <v>2.1</v>
      </c>
      <c r="L24" s="4">
        <v>0.9</v>
      </c>
      <c r="M24" s="1" t="s">
        <v>28</v>
      </c>
      <c r="N24">
        <v>1</v>
      </c>
      <c r="O24" s="1">
        <v>2022</v>
      </c>
    </row>
    <row r="25" spans="1:15" x14ac:dyDescent="0.2">
      <c r="A25" s="1" t="s">
        <v>16</v>
      </c>
      <c r="B25" s="1" t="s">
        <v>30</v>
      </c>
      <c r="C25" s="1">
        <v>0</v>
      </c>
      <c r="D25" s="1" t="s">
        <v>26</v>
      </c>
      <c r="E25" s="1">
        <v>50</v>
      </c>
      <c r="F25" s="1">
        <v>38</v>
      </c>
      <c r="G25" s="1">
        <v>8</v>
      </c>
      <c r="H25" s="1">
        <v>4</v>
      </c>
      <c r="I25" s="2">
        <f t="shared" si="0"/>
        <v>2.44</v>
      </c>
      <c r="J25" s="3">
        <f t="shared" si="1"/>
        <v>0.76</v>
      </c>
      <c r="K25" s="4">
        <v>2.2999999999999998</v>
      </c>
      <c r="L25" s="4">
        <v>0.7</v>
      </c>
      <c r="M25" s="1" t="s">
        <v>57</v>
      </c>
      <c r="N25">
        <v>0</v>
      </c>
      <c r="O25" s="1">
        <v>2023</v>
      </c>
    </row>
    <row r="26" spans="1:15" x14ac:dyDescent="0.2">
      <c r="A26" s="1" t="s">
        <v>17</v>
      </c>
      <c r="B26" s="1" t="s">
        <v>42</v>
      </c>
      <c r="C26" s="1">
        <v>1</v>
      </c>
      <c r="D26" s="1" t="s">
        <v>32</v>
      </c>
      <c r="E26" s="1">
        <v>34</v>
      </c>
      <c r="F26" s="1">
        <v>21</v>
      </c>
      <c r="G26" s="1">
        <v>8</v>
      </c>
      <c r="H26" s="1">
        <v>5</v>
      </c>
      <c r="I26" s="2">
        <f t="shared" si="0"/>
        <v>2.0882352941176472</v>
      </c>
      <c r="J26" s="3">
        <f t="shared" si="1"/>
        <v>0.61764705882352944</v>
      </c>
      <c r="K26" s="4">
        <v>1.8</v>
      </c>
      <c r="L26" s="4">
        <v>0.9</v>
      </c>
      <c r="M26" s="1" t="s">
        <v>57</v>
      </c>
      <c r="N26">
        <v>0</v>
      </c>
      <c r="O26" s="1">
        <v>2024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TIREK Tibet Aras</dc:creator>
  <cp:lastModifiedBy>TIREK Tibet Aras</cp:lastModifiedBy>
  <dcterms:created xsi:type="dcterms:W3CDTF">2025-11-27T11:29:29Z</dcterms:created>
  <dcterms:modified xsi:type="dcterms:W3CDTF">2025-12-09T12:40:36Z</dcterms:modified>
</cp:coreProperties>
</file>